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 Logic - BCDEF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name val="Georgia"/>
      <b val="1"/>
      <sz val="10"/>
    </font>
    <font>
      <name val="Helvetica"/>
      <sz val="10"/>
    </font>
    <font>
      <name val="Helvetica"/>
      <b val="1"/>
      <color rgb="000B5394"/>
      <sz val="10"/>
    </font>
    <font>
      <name val="Helvetica"/>
      <color rgb="00444444"/>
      <sz val="10"/>
    </font>
    <font>
      <name val="Helvetica"/>
      <b val="1"/>
      <sz val="10"/>
    </font>
    <font>
      <name val="Helvetica"/>
      <b val="1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Atlas Report</author>
  </authors>
  <commentList>
    <comment ref="A1" authorId="0" shapeId="0">
      <text>
        <t>Category
Section headers (Likely Deal Score, Total Score, Action Plan, Mkt Count, Distress) and their range labels.</t>
      </text>
    </comment>
    <comment ref="B1" authorId="0" shapeId="0">
      <text>
        <t>Total Properties
All domain properties with BUYBOX SCORE &gt; 0.
Likely/Total Score: all scored. Action Plan: only properties with an action plan. Mkt Count: only properties with mkt contacts &gt; 0. Distress: binary columns including DEFAULT RISK (now in domain file).</t>
      </text>
    </comment>
    <comment ref="C1" authorId="0" shapeId="0">
      <text>
        <t>Properties in the Fulfillment
37,338 unique FOLIOs across 5 fulfillment files (Oct–Dec 2025).
Scores: MAX across all months. Action Plan: best (lowest days). Mkt Count: latest month DM+SMS; properties with 0 contacts counted as 1 (recommended at least once). Distress: MAIN DISTRESS #1–4 + binary VACANT.</t>
      </text>
    </comment>
    <comment ref="D1" authorId="0" shapeId="0">
      <text>
        <t>Sold
Properties sold since Oct 1 2025 that were also recommended in a fulfillment (390).
Scores come from fulfillment MAX (pre-sale picture). Distress from domain binary columns.</t>
      </text>
    </comment>
    <comment ref="E1" authorId="0" shapeId="0">
      <text>
        <t>Clients Lead
345 leads from Deals &amp; Leads Atlas matched to the fulfillment via FOLIO.
Scores: fulfillment MAX. Mkt: 0 contacts treated as 1. 503 leads not in fulfillment are excluded.</t>
      </text>
    </comment>
    <comment ref="F1" authorId="0" shapeId="0">
      <text>
        <t>Client Deals
4 deals from Deals &amp; Leads Atlas matched to the fulfillment via FOLIO.
Scores: fulfillment MAX. 147 deals not in fulfillment are excluded.</t>
      </text>
    </comment>
    <comment ref="G1" authorId="0" shapeId="0">
      <text>
        <t>Sold Concentration %
Formula: =D/C
What % of fulfillment-recommended properties were sold since Oct 1.</t>
      </text>
    </comment>
    <comment ref="H1" authorId="0" shapeId="0">
      <text>
        <t>Client Deals Concentration
Formula: =F/C
What % of fulfillment-recommended properties became a client deal.</t>
      </text>
    </comment>
    <comment ref="I1" authorId="0" shapeId="0">
      <text>
        <t>Client Leads Concentration
Formula: =E/C
What % of fulfillment-recommended properties became a client lead.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6" customHeight="1">
      <c r="A1" s="1" t="inlineStr">
        <is>
          <t>Category</t>
        </is>
      </c>
      <c r="B1" s="1" t="inlineStr">
        <is>
          <t>Total Properties</t>
        </is>
      </c>
      <c r="C1" s="1" t="inlineStr">
        <is>
          <t>Properties in the fulfillment</t>
        </is>
      </c>
      <c r="D1" s="1" t="inlineStr">
        <is>
          <t>Sold</t>
        </is>
      </c>
      <c r="E1" s="1" t="inlineStr">
        <is>
          <t>Clients Lead</t>
        </is>
      </c>
      <c r="F1" s="1" t="inlineStr">
        <is>
          <t>Client Deals</t>
        </is>
      </c>
      <c r="G1" s="1" t="inlineStr">
        <is>
          <t>Sold Concentration %Sold</t>
        </is>
      </c>
      <c r="H1" s="1" t="inlineStr">
        <is>
          <t>Client Deals Concentration</t>
        </is>
      </c>
      <c r="I1" s="1" t="inlineStr">
        <is>
          <t>Client Leads Concentration</t>
        </is>
      </c>
    </row>
    <row r="2">
      <c r="A2" s="2" t="inlineStr">
        <is>
          <t>Likely Deal Score</t>
        </is>
      </c>
      <c r="B2" s="2" t="inlineStr">
        <is>
          <t>Total Properties</t>
        </is>
      </c>
      <c r="C2" s="2" t="inlineStr">
        <is>
          <t>Properties in the fulfillment</t>
        </is>
      </c>
      <c r="D2" s="2" t="inlineStr">
        <is>
          <t>Sold</t>
        </is>
      </c>
      <c r="E2" s="2" t="inlineStr">
        <is>
          <t>Clients Lead</t>
        </is>
      </c>
      <c r="F2" s="2" t="inlineStr">
        <is>
          <t>Client Deals</t>
        </is>
      </c>
      <c r="G2" s="2" t="inlineStr">
        <is>
          <t>Sold Concentration %Sold</t>
        </is>
      </c>
      <c r="H2" s="2" t="inlineStr">
        <is>
          <t>Client Deals Concentration</t>
        </is>
      </c>
      <c r="I2" s="2" t="inlineStr">
        <is>
          <t>Client Leads Concentration</t>
        </is>
      </c>
    </row>
    <row r="3">
      <c r="A3" s="3" t="inlineStr">
        <is>
          <t>100-81</t>
        </is>
      </c>
      <c r="B3" s="4" t="n">
        <v>7347</v>
      </c>
      <c r="C3" s="4" t="n">
        <v>3743</v>
      </c>
      <c r="D3" s="4" t="n">
        <v>101</v>
      </c>
      <c r="E3" s="4" t="n">
        <v>409</v>
      </c>
      <c r="F3" s="4" t="n">
        <v>2</v>
      </c>
      <c r="G3" s="5">
        <f>IFERROR(D3/C3,"")</f>
        <v/>
      </c>
      <c r="H3" s="5">
        <f>IFERROR(F3/C3,"")</f>
        <v/>
      </c>
      <c r="I3" s="5">
        <f>IFERROR(E3/C3,"")</f>
        <v/>
      </c>
    </row>
    <row r="4">
      <c r="A4" s="3" t="inlineStr">
        <is>
          <t>80-61</t>
        </is>
      </c>
      <c r="B4" s="4" t="n">
        <v>12414</v>
      </c>
      <c r="C4" s="4" t="n">
        <v>5396</v>
      </c>
      <c r="D4" s="4" t="n">
        <v>95</v>
      </c>
      <c r="E4" s="4" t="n">
        <v>250</v>
      </c>
      <c r="F4" s="4" t="n">
        <v>2</v>
      </c>
      <c r="G4" s="5">
        <f>IFERROR(D4/C4,"")</f>
        <v/>
      </c>
      <c r="H4" s="5">
        <f>IFERROR(F4/C4,"")</f>
        <v/>
      </c>
      <c r="I4" s="5">
        <f>IFERROR(E4/C4,"")</f>
        <v/>
      </c>
    </row>
    <row r="5">
      <c r="A5" s="3" t="inlineStr">
        <is>
          <t>60-41</t>
        </is>
      </c>
      <c r="B5" s="4" t="n">
        <v>52114</v>
      </c>
      <c r="C5" s="4" t="n">
        <v>16540</v>
      </c>
      <c r="D5" s="4" t="n">
        <v>223</v>
      </c>
      <c r="E5" s="4" t="n">
        <v>617</v>
      </c>
      <c r="F5" s="4" t="n">
        <v>2</v>
      </c>
      <c r="G5" s="5">
        <f>IFERROR(D5/C5,"")</f>
        <v/>
      </c>
      <c r="H5" s="5">
        <f>IFERROR(F5/C5,"")</f>
        <v/>
      </c>
      <c r="I5" s="5">
        <f>IFERROR(E5/C5,"")</f>
        <v/>
      </c>
    </row>
    <row r="6">
      <c r="A6" s="3" t="inlineStr">
        <is>
          <t>40-21</t>
        </is>
      </c>
      <c r="B6" s="4" t="n">
        <v>104769</v>
      </c>
      <c r="C6" s="4" t="n">
        <v>42374</v>
      </c>
      <c r="D6" s="4" t="n">
        <v>403</v>
      </c>
      <c r="E6" s="4" t="n">
        <v>1362</v>
      </c>
      <c r="F6" s="4" t="n">
        <v>4</v>
      </c>
      <c r="G6" s="5">
        <f>IFERROR(D6/C6,"")</f>
        <v/>
      </c>
      <c r="H6" s="5">
        <f>IFERROR(F6/C6,"")</f>
        <v/>
      </c>
      <c r="I6" s="5">
        <f>IFERROR(E6/C6,"")</f>
        <v/>
      </c>
    </row>
    <row r="7">
      <c r="A7" s="3" t="inlineStr">
        <is>
          <t>20-0</t>
        </is>
      </c>
      <c r="B7" s="4" t="n">
        <v>43940</v>
      </c>
      <c r="C7" s="4" t="n">
        <v>49225</v>
      </c>
      <c r="D7" s="4" t="n">
        <v>491</v>
      </c>
      <c r="E7" s="4" t="n">
        <v>1872</v>
      </c>
      <c r="F7" s="4" t="n">
        <v>4</v>
      </c>
      <c r="G7" s="5">
        <f>IFERROR(D7/C7,"")</f>
        <v/>
      </c>
      <c r="H7" s="5">
        <f>IFERROR(F7/C7,"")</f>
        <v/>
      </c>
      <c r="I7" s="5">
        <f>IFERROR(E7/C7,"")</f>
        <v/>
      </c>
    </row>
    <row r="8">
      <c r="A8" s="6" t="inlineStr">
        <is>
          <t>Total</t>
        </is>
      </c>
      <c r="B8" s="7" t="n">
        <v>220584</v>
      </c>
      <c r="C8" s="7" t="n">
        <v>117278</v>
      </c>
      <c r="D8" s="7" t="n">
        <v>1313</v>
      </c>
      <c r="E8" s="7" t="n">
        <v>4510</v>
      </c>
      <c r="F8" s="7" t="n">
        <v>14</v>
      </c>
      <c r="G8" s="8">
        <f>IFERROR(D8/C8,"")</f>
        <v/>
      </c>
      <c r="H8" s="8">
        <f>IFERROR(F8/C8,"")</f>
        <v/>
      </c>
      <c r="I8" s="8">
        <f>IFERROR(E8/C8,"")</f>
        <v/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inlineStr">
        <is>
          <t>Total Score</t>
        </is>
      </c>
      <c r="B10" s="2" t="inlineStr">
        <is>
          <t>Total Properties</t>
        </is>
      </c>
      <c r="C10" s="2" t="inlineStr">
        <is>
          <t>Properties in the fulfillment</t>
        </is>
      </c>
      <c r="D10" s="2" t="inlineStr">
        <is>
          <t>Sold</t>
        </is>
      </c>
      <c r="E10" s="2" t="inlineStr">
        <is>
          <t>Clients Lead</t>
        </is>
      </c>
      <c r="F10" s="2" t="inlineStr">
        <is>
          <t>Client Deals</t>
        </is>
      </c>
      <c r="G10" s="2" t="inlineStr">
        <is>
          <t>Sold Concentration %Sold</t>
        </is>
      </c>
      <c r="H10" s="2" t="inlineStr">
        <is>
          <t>Client Deals Concentration</t>
        </is>
      </c>
      <c r="I10" s="2" t="inlineStr">
        <is>
          <t>Client Leads Concentration</t>
        </is>
      </c>
    </row>
    <row r="11">
      <c r="A11" s="3" t="inlineStr">
        <is>
          <t>1000-801</t>
        </is>
      </c>
      <c r="B11" s="4" t="n">
        <v>8973</v>
      </c>
      <c r="C11" s="4" t="n">
        <v>6609</v>
      </c>
      <c r="D11" s="4" t="n">
        <v>135</v>
      </c>
      <c r="E11" s="4" t="n">
        <v>462</v>
      </c>
      <c r="F11" s="4" t="n">
        <v>3</v>
      </c>
      <c r="G11" s="5">
        <f>IFERROR(D11/C11,"")</f>
        <v/>
      </c>
      <c r="H11" s="5">
        <f>IFERROR(F11/C11,"")</f>
        <v/>
      </c>
      <c r="I11" s="5">
        <f>IFERROR(E11/C11,"")</f>
        <v/>
      </c>
    </row>
    <row r="12">
      <c r="A12" s="3" t="inlineStr">
        <is>
          <t>800-601</t>
        </is>
      </c>
      <c r="B12" s="4" t="n">
        <v>57148</v>
      </c>
      <c r="C12" s="4" t="n">
        <v>25730</v>
      </c>
      <c r="D12" s="4" t="n">
        <v>372</v>
      </c>
      <c r="E12" s="4" t="n">
        <v>1497</v>
      </c>
      <c r="F12" s="4" t="n">
        <v>4</v>
      </c>
      <c r="G12" s="5">
        <f>IFERROR(D12/C12,"")</f>
        <v/>
      </c>
      <c r="H12" s="5">
        <f>IFERROR(F12/C12,"")</f>
        <v/>
      </c>
      <c r="I12" s="5">
        <f>IFERROR(E12/C12,"")</f>
        <v/>
      </c>
    </row>
    <row r="13">
      <c r="A13" s="3" t="inlineStr">
        <is>
          <t>600-401</t>
        </is>
      </c>
      <c r="B13" s="4" t="n">
        <v>28601</v>
      </c>
      <c r="C13" s="4" t="n">
        <v>20850</v>
      </c>
      <c r="D13" s="4" t="n">
        <v>243</v>
      </c>
      <c r="E13" s="4" t="n">
        <v>844</v>
      </c>
      <c r="F13" s="4" t="n">
        <v>4</v>
      </c>
      <c r="G13" s="5">
        <f>IFERROR(D13/C13,"")</f>
        <v/>
      </c>
      <c r="H13" s="5">
        <f>IFERROR(F13/C13,"")</f>
        <v/>
      </c>
      <c r="I13" s="5">
        <f>IFERROR(E13/C13,"")</f>
        <v/>
      </c>
    </row>
    <row r="14">
      <c r="A14" s="3" t="inlineStr">
        <is>
          <t>400-201</t>
        </is>
      </c>
      <c r="B14" s="4" t="n">
        <v>48099</v>
      </c>
      <c r="C14" s="4" t="n">
        <v>40903</v>
      </c>
      <c r="D14" s="4" t="n">
        <v>333</v>
      </c>
      <c r="E14" s="4" t="n">
        <v>1114</v>
      </c>
      <c r="F14" s="4" t="n">
        <v>2</v>
      </c>
      <c r="G14" s="5">
        <f>IFERROR(D14/C14,"")</f>
        <v/>
      </c>
      <c r="H14" s="5">
        <f>IFERROR(F14/C14,"")</f>
        <v/>
      </c>
      <c r="I14" s="5">
        <f>IFERROR(E14/C14,"")</f>
        <v/>
      </c>
    </row>
    <row r="15">
      <c r="A15" s="3" t="inlineStr">
        <is>
          <t>200-0</t>
        </is>
      </c>
      <c r="B15" s="4" t="n">
        <v>77763</v>
      </c>
      <c r="C15" s="4" t="n">
        <v>23186</v>
      </c>
      <c r="D15" s="4" t="n">
        <v>230</v>
      </c>
      <c r="E15" s="4" t="n">
        <v>593</v>
      </c>
      <c r="F15" s="4" t="n">
        <v>1</v>
      </c>
      <c r="G15" s="5">
        <f>IFERROR(D15/C15,"")</f>
        <v/>
      </c>
      <c r="H15" s="5">
        <f>IFERROR(F15/C15,"")</f>
        <v/>
      </c>
      <c r="I15" s="5">
        <f>IFERROR(E15/C15,"")</f>
        <v/>
      </c>
    </row>
    <row r="16">
      <c r="A16" s="6" t="inlineStr">
        <is>
          <t>Total</t>
        </is>
      </c>
      <c r="B16" s="7" t="n">
        <v>220584</v>
      </c>
      <c r="C16" s="7" t="n">
        <v>117278</v>
      </c>
      <c r="D16" s="7" t="n">
        <v>1313</v>
      </c>
      <c r="E16" s="7" t="n">
        <v>4510</v>
      </c>
      <c r="F16" s="7" t="n">
        <v>14</v>
      </c>
      <c r="G16" s="8">
        <f>IFERROR(D16/C16,"")</f>
        <v/>
      </c>
      <c r="H16" s="8">
        <f>IFERROR(F16/C16,"")</f>
        <v/>
      </c>
      <c r="I16" s="8">
        <f>IFERROR(E16/C16,"")</f>
        <v/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inlineStr">
        <is>
          <t>Action Plan</t>
        </is>
      </c>
      <c r="B18" s="2" t="inlineStr">
        <is>
          <t>Total Properties</t>
        </is>
      </c>
      <c r="C18" s="2" t="inlineStr">
        <is>
          <t>Properties in the fulfillment</t>
        </is>
      </c>
      <c r="D18" s="2" t="inlineStr">
        <is>
          <t>Sold</t>
        </is>
      </c>
      <c r="E18" s="2" t="inlineStr">
        <is>
          <t>Clients Lead</t>
        </is>
      </c>
      <c r="F18" s="2" t="inlineStr">
        <is>
          <t>Client Deals</t>
        </is>
      </c>
      <c r="G18" s="2" t="inlineStr">
        <is>
          <t>Sold Concentration %Sold</t>
        </is>
      </c>
      <c r="H18" s="2" t="inlineStr">
        <is>
          <t>Client Deals Concentration</t>
        </is>
      </c>
      <c r="I18" s="2" t="inlineStr">
        <is>
          <t>Client Leads Concentration</t>
        </is>
      </c>
    </row>
    <row r="19">
      <c r="A19" s="3" t="inlineStr">
        <is>
          <t>30 day</t>
        </is>
      </c>
      <c r="B19" s="4" t="n">
        <v>1688</v>
      </c>
      <c r="C19" s="4" t="n">
        <v>6943</v>
      </c>
      <c r="D19" s="4" t="n">
        <v>158</v>
      </c>
      <c r="E19" s="4" t="n">
        <v>636</v>
      </c>
      <c r="F19" s="4" t="n">
        <v>3</v>
      </c>
      <c r="G19" s="5">
        <f>IFERROR(D19/C19,"")</f>
        <v/>
      </c>
      <c r="H19" s="5">
        <f>IFERROR(F19/C19,"")</f>
        <v/>
      </c>
      <c r="I19" s="5">
        <f>IFERROR(E19/C19,"")</f>
        <v/>
      </c>
    </row>
    <row r="20">
      <c r="A20" s="3" t="inlineStr">
        <is>
          <t>60 day</t>
        </is>
      </c>
      <c r="B20" s="4" t="n">
        <v>15800</v>
      </c>
      <c r="C20" s="4" t="n">
        <v>21429</v>
      </c>
      <c r="D20" s="4" t="n">
        <v>322</v>
      </c>
      <c r="E20" s="4" t="n">
        <v>1248</v>
      </c>
      <c r="F20" s="4" t="n">
        <v>4</v>
      </c>
      <c r="G20" s="5">
        <f>IFERROR(D20/C20,"")</f>
        <v/>
      </c>
      <c r="H20" s="5">
        <f>IFERROR(F20/C20,"")</f>
        <v/>
      </c>
      <c r="I20" s="5">
        <f>IFERROR(E20/C20,"")</f>
        <v/>
      </c>
    </row>
    <row r="21">
      <c r="A21" s="3" t="inlineStr">
        <is>
          <t>90 day</t>
        </is>
      </c>
      <c r="B21" s="4" t="n">
        <v>137343</v>
      </c>
      <c r="C21" s="4" t="n">
        <v>88903</v>
      </c>
      <c r="D21" s="4" t="n">
        <v>833</v>
      </c>
      <c r="E21" s="4" t="n">
        <v>2626</v>
      </c>
      <c r="F21" s="4" t="n">
        <v>7</v>
      </c>
      <c r="G21" s="5">
        <f>IFERROR(D21/C21,"")</f>
        <v/>
      </c>
      <c r="H21" s="5">
        <f>IFERROR(F21/C21,"")</f>
        <v/>
      </c>
      <c r="I21" s="5">
        <f>IFERROR(E21/C21,"")</f>
        <v/>
      </c>
    </row>
    <row r="22">
      <c r="A22" s="6" t="inlineStr">
        <is>
          <t>Total</t>
        </is>
      </c>
      <c r="B22" s="7" t="n">
        <v>154831</v>
      </c>
      <c r="C22" s="7" t="n">
        <v>117275</v>
      </c>
      <c r="D22" s="7" t="n">
        <v>1313</v>
      </c>
      <c r="E22" s="7" t="n">
        <v>4510</v>
      </c>
      <c r="F22" s="7" t="n">
        <v>14</v>
      </c>
      <c r="G22" s="8">
        <f>IFERROR(D22/C22,"")</f>
        <v/>
      </c>
      <c r="H22" s="8">
        <f>IFERROR(F22/C22,"")</f>
        <v/>
      </c>
      <c r="I22" s="8">
        <f>IFERROR(E22/C22,"")</f>
        <v/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2" t="inlineStr">
        <is>
          <t>Mkt Count</t>
        </is>
      </c>
      <c r="B24" s="2" t="inlineStr">
        <is>
          <t>Total Properties</t>
        </is>
      </c>
      <c r="C24" s="2" t="inlineStr">
        <is>
          <t>Properties in the fulfillment</t>
        </is>
      </c>
      <c r="D24" s="2" t="inlineStr">
        <is>
          <t>Sold</t>
        </is>
      </c>
      <c r="E24" s="2" t="inlineStr">
        <is>
          <t>Clients Lead</t>
        </is>
      </c>
      <c r="F24" s="2" t="inlineStr">
        <is>
          <t>Client Deals</t>
        </is>
      </c>
      <c r="G24" s="2" t="inlineStr">
        <is>
          <t>Sold Concentration %Sold</t>
        </is>
      </c>
      <c r="H24" s="2" t="inlineStr">
        <is>
          <t>Client Deals Concentration</t>
        </is>
      </c>
      <c r="I24" s="2" t="inlineStr">
        <is>
          <t>Client Leads Concentration</t>
        </is>
      </c>
    </row>
    <row r="25">
      <c r="A25" s="3" t="inlineStr">
        <is>
          <t>1 to 5</t>
        </is>
      </c>
      <c r="B25" s="4" t="n">
        <v>110926</v>
      </c>
      <c r="C25" s="4" t="n">
        <v>64031</v>
      </c>
      <c r="D25" s="4" t="n">
        <v>693</v>
      </c>
      <c r="E25" s="4" t="n">
        <v>1611</v>
      </c>
      <c r="F25" s="4" t="n">
        <v>7</v>
      </c>
      <c r="G25" s="5">
        <f>IFERROR(D25/C25,"")</f>
        <v/>
      </c>
      <c r="H25" s="5">
        <f>IFERROR(F25/C25,"")</f>
        <v/>
      </c>
      <c r="I25" s="5">
        <f>IFERROR(E25/C25,"")</f>
        <v/>
      </c>
    </row>
    <row r="26">
      <c r="A26" s="3" t="inlineStr">
        <is>
          <t>6 to 10</t>
        </is>
      </c>
      <c r="B26" s="4" t="n">
        <v>57570</v>
      </c>
      <c r="C26" s="4" t="n">
        <v>17423</v>
      </c>
      <c r="D26" s="4" t="n">
        <v>205</v>
      </c>
      <c r="E26" s="4" t="n">
        <v>898</v>
      </c>
      <c r="F26" s="4" t="n">
        <v>4</v>
      </c>
      <c r="G26" s="5">
        <f>IFERROR(D26/C26,"")</f>
        <v/>
      </c>
      <c r="H26" s="5">
        <f>IFERROR(F26/C26,"")</f>
        <v/>
      </c>
      <c r="I26" s="5">
        <f>IFERROR(E26/C26,"")</f>
        <v/>
      </c>
    </row>
    <row r="27">
      <c r="A27" s="3" t="inlineStr">
        <is>
          <t>11 to 19</t>
        </is>
      </c>
      <c r="B27" s="4" t="n">
        <v>18784</v>
      </c>
      <c r="C27" s="4" t="n">
        <v>21210</v>
      </c>
      <c r="D27" s="4" t="n">
        <v>222</v>
      </c>
      <c r="E27" s="4" t="n">
        <v>1189</v>
      </c>
      <c r="F27" s="4" t="n">
        <v>3</v>
      </c>
      <c r="G27" s="5">
        <f>IFERROR(D27/C27,"")</f>
        <v/>
      </c>
      <c r="H27" s="5">
        <f>IFERROR(F27/C27,"")</f>
        <v/>
      </c>
      <c r="I27" s="5">
        <f>IFERROR(E27/C27,"")</f>
        <v/>
      </c>
    </row>
    <row r="28">
      <c r="A28" s="3" t="inlineStr">
        <is>
          <t>20+</t>
        </is>
      </c>
      <c r="B28" s="4" t="n">
        <v>1354</v>
      </c>
      <c r="C28" s="4" t="n">
        <v>14614</v>
      </c>
      <c r="D28" s="4" t="n">
        <v>193</v>
      </c>
      <c r="E28" s="4" t="n">
        <v>812</v>
      </c>
      <c r="F28" s="4" t="n">
        <v>0</v>
      </c>
      <c r="G28" s="5">
        <f>IFERROR(D28/C28,"")</f>
        <v/>
      </c>
      <c r="H28" s="5">
        <f>IFERROR(F28/C28,"")</f>
        <v/>
      </c>
      <c r="I28" s="5">
        <f>IFERROR(E28/C28,"")</f>
        <v/>
      </c>
    </row>
    <row r="29">
      <c r="A29" s="6" t="inlineStr">
        <is>
          <t>Total</t>
        </is>
      </c>
      <c r="B29" s="7" t="n">
        <v>188634</v>
      </c>
      <c r="C29" s="7" t="n">
        <v>117278</v>
      </c>
      <c r="D29" s="7" t="n">
        <v>1313</v>
      </c>
      <c r="E29" s="7" t="n">
        <v>4510</v>
      </c>
      <c r="F29" s="7" t="n">
        <v>14</v>
      </c>
      <c r="G29" s="8">
        <f>IFERROR(D29/C29,"")</f>
        <v/>
      </c>
      <c r="H29" s="8">
        <f>IFERROR(F29/C29,"")</f>
        <v/>
      </c>
      <c r="I29" s="8">
        <f>IFERROR(E29/C29,"")</f>
        <v/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s="2" t="inlineStr">
        <is>
          <t>Distress</t>
        </is>
      </c>
      <c r="B31" s="2" t="inlineStr">
        <is>
          <t>Total Properties</t>
        </is>
      </c>
      <c r="C31" s="2" t="inlineStr">
        <is>
          <t>Properties in the fulfillment</t>
        </is>
      </c>
      <c r="D31" s="2" t="inlineStr">
        <is>
          <t>Sold</t>
        </is>
      </c>
      <c r="E31" s="2" t="inlineStr">
        <is>
          <t>Clients Lead</t>
        </is>
      </c>
      <c r="F31" s="2" t="inlineStr">
        <is>
          <t>Client Deals</t>
        </is>
      </c>
      <c r="G31" s="2" t="inlineStr">
        <is>
          <t>Sold Concentration %Sold</t>
        </is>
      </c>
      <c r="H31" s="2" t="inlineStr">
        <is>
          <t>Client Deals Concentration</t>
        </is>
      </c>
      <c r="I31" s="2" t="inlineStr">
        <is>
          <t>Client Leads Concentration</t>
        </is>
      </c>
    </row>
    <row r="32">
      <c r="A32" s="3" t="inlineStr">
        <is>
          <t>Pre-foreclosure</t>
        </is>
      </c>
      <c r="B32" s="4" t="n">
        <v>1949</v>
      </c>
      <c r="C32" s="4" t="n">
        <v>842</v>
      </c>
      <c r="D32" s="4" t="n">
        <v>1</v>
      </c>
      <c r="E32" s="4" t="n">
        <v>296</v>
      </c>
      <c r="F32" s="4" t="n">
        <v>2</v>
      </c>
      <c r="G32" s="5">
        <f>IFERROR(D32/C32,"")</f>
        <v/>
      </c>
      <c r="H32" s="5">
        <f>IFERROR(F32/C32,"")</f>
        <v/>
      </c>
      <c r="I32" s="5">
        <f>IFERROR(E32/C32,"")</f>
        <v/>
      </c>
    </row>
    <row r="33">
      <c r="A33" s="3" t="inlineStr">
        <is>
          <t>Vacant</t>
        </is>
      </c>
      <c r="B33" s="4" t="n">
        <v>3110</v>
      </c>
      <c r="C33" s="4" t="n">
        <v>2439</v>
      </c>
      <c r="D33" s="4" t="n">
        <v>111</v>
      </c>
      <c r="E33" s="4" t="n">
        <v>220</v>
      </c>
      <c r="F33" s="4" t="n">
        <v>1</v>
      </c>
      <c r="G33" s="5">
        <f>IFERROR(D33/C33,"")</f>
        <v/>
      </c>
      <c r="H33" s="5">
        <f>IFERROR(F33/C33,"")</f>
        <v/>
      </c>
      <c r="I33" s="5">
        <f>IFERROR(E33/C33,"")</f>
        <v/>
      </c>
    </row>
    <row r="34">
      <c r="A34" s="3" t="inlineStr">
        <is>
          <t>Taxes (Tax Delinquent)</t>
        </is>
      </c>
      <c r="B34" s="4" t="n">
        <v>8196</v>
      </c>
      <c r="C34" s="4" t="n">
        <v>6445</v>
      </c>
      <c r="D34" s="4" t="n">
        <v>2</v>
      </c>
      <c r="E34" s="4" t="n">
        <v>512</v>
      </c>
      <c r="F34" s="4" t="n">
        <v>2</v>
      </c>
      <c r="G34" s="5">
        <f>IFERROR(D34/C34,"")</f>
        <v/>
      </c>
      <c r="H34" s="5">
        <f>IFERROR(F34/C34,"")</f>
        <v/>
      </c>
      <c r="I34" s="5">
        <f>IFERROR(E34/C34,"")</f>
        <v/>
      </c>
    </row>
    <row r="35">
      <c r="A35" s="3" t="inlineStr">
        <is>
          <t>Estate (Pre-Probate)</t>
        </is>
      </c>
      <c r="B35" s="4" t="n">
        <v>7252</v>
      </c>
      <c r="C35" s="4" t="n">
        <v>5004</v>
      </c>
      <c r="D35" s="4" t="n">
        <v>1</v>
      </c>
      <c r="E35" s="4" t="n">
        <v>364</v>
      </c>
      <c r="F35" s="4" t="n">
        <v>2</v>
      </c>
      <c r="G35" s="5">
        <f>IFERROR(D35/C35,"")</f>
        <v/>
      </c>
      <c r="H35" s="5">
        <f>IFERROR(F35/C35,"")</f>
        <v/>
      </c>
      <c r="I35" s="5">
        <f>IFERROR(E35/C35,"")</f>
        <v/>
      </c>
    </row>
    <row r="36">
      <c r="A36" s="3" t="inlineStr">
        <is>
          <t>Inter family transfer</t>
        </is>
      </c>
      <c r="B36" s="4" t="n">
        <v>1716</v>
      </c>
      <c r="C36" s="4" t="n">
        <v>962</v>
      </c>
      <c r="D36" s="4" t="n">
        <v>0</v>
      </c>
      <c r="E36" s="4" t="n">
        <v>72</v>
      </c>
      <c r="F36" s="4" t="n">
        <v>0</v>
      </c>
      <c r="G36" s="5">
        <f>IFERROR(D36/C36,"")</f>
        <v/>
      </c>
      <c r="H36" s="5">
        <f>IFERROR(F36/C36,"")</f>
        <v/>
      </c>
      <c r="I36" s="5">
        <f>IFERROR(E36/C36,"")</f>
        <v/>
      </c>
    </row>
    <row r="37">
      <c r="A37" s="3" t="inlineStr">
        <is>
          <t>Probate</t>
        </is>
      </c>
      <c r="B37" s="4" t="n">
        <v>1063</v>
      </c>
      <c r="C37" s="4" t="n">
        <v>595</v>
      </c>
      <c r="D37" s="4" t="n">
        <v>8</v>
      </c>
      <c r="E37" s="4" t="n">
        <v>77</v>
      </c>
      <c r="F37" s="4" t="n">
        <v>1</v>
      </c>
      <c r="G37" s="5">
        <f>IFERROR(D37/C37,"")</f>
        <v/>
      </c>
      <c r="H37" s="5">
        <f>IFERROR(F37/C37,"")</f>
        <v/>
      </c>
      <c r="I37" s="5">
        <f>IFERROR(E37/C37,"")</f>
        <v/>
      </c>
    </row>
    <row r="38">
      <c r="A38" s="3" t="inlineStr">
        <is>
          <t>Judgement</t>
        </is>
      </c>
      <c r="B38" s="4" t="n">
        <v>278</v>
      </c>
      <c r="C38" s="4" t="n">
        <v>158</v>
      </c>
      <c r="D38" s="4" t="n">
        <v>0</v>
      </c>
      <c r="E38" s="4" t="n">
        <v>12</v>
      </c>
      <c r="F38" s="4" t="n">
        <v>0</v>
      </c>
      <c r="G38" s="5">
        <f>IFERROR(D38/C38,"")</f>
        <v/>
      </c>
      <c r="H38" s="5">
        <f>IFERROR(F38/C38,"")</f>
        <v/>
      </c>
      <c r="I38" s="5">
        <f>IFERROR(E38/C38,"")</f>
        <v/>
      </c>
    </row>
    <row r="39">
      <c r="A39" s="3" t="inlineStr">
        <is>
          <t>Liens city/county</t>
        </is>
      </c>
      <c r="B39" s="4" t="n">
        <v>646</v>
      </c>
      <c r="C39" s="4" t="n">
        <v>597</v>
      </c>
      <c r="D39" s="4" t="n">
        <v>1</v>
      </c>
      <c r="E39" s="4" t="n">
        <v>84</v>
      </c>
      <c r="F39" s="4" t="n">
        <v>0</v>
      </c>
      <c r="G39" s="5">
        <f>IFERROR(D39/C39,"")</f>
        <v/>
      </c>
      <c r="H39" s="5">
        <f>IFERROR(F39/C39,"")</f>
        <v/>
      </c>
      <c r="I39" s="5">
        <f>IFERROR(E39/C39,"")</f>
        <v/>
      </c>
    </row>
    <row r="40">
      <c r="A40" s="3" t="inlineStr">
        <is>
          <t>Liens other</t>
        </is>
      </c>
      <c r="B40" s="4" t="n">
        <v>136</v>
      </c>
      <c r="C40" s="4" t="n">
        <v>55</v>
      </c>
      <c r="D40" s="4" t="n">
        <v>0</v>
      </c>
      <c r="E40" s="4" t="n">
        <v>16</v>
      </c>
      <c r="F40" s="4" t="n">
        <v>0</v>
      </c>
      <c r="G40" s="5">
        <f>IFERROR(D40/C40,"")</f>
        <v/>
      </c>
      <c r="H40" s="5">
        <f>IFERROR(F40/C40,"")</f>
        <v/>
      </c>
      <c r="I40" s="5">
        <f>IFERROR(E40/C40,"")</f>
        <v/>
      </c>
    </row>
    <row r="41">
      <c r="A41" s="3" t="inlineStr">
        <is>
          <t>Liens Mechanic</t>
        </is>
      </c>
      <c r="B41" s="4" t="n">
        <v>367</v>
      </c>
      <c r="C41" s="4" t="n">
        <v>355</v>
      </c>
      <c r="D41" s="4" t="n">
        <v>3</v>
      </c>
      <c r="E41" s="4" t="n">
        <v>19</v>
      </c>
      <c r="F41" s="4" t="n">
        <v>0</v>
      </c>
      <c r="G41" s="5">
        <f>IFERROR(D41/C41,"")</f>
        <v/>
      </c>
      <c r="H41" s="5">
        <f>IFERROR(F41/C41,"")</f>
        <v/>
      </c>
      <c r="I41" s="5">
        <f>IFERROR(E41/C41,"")</f>
        <v/>
      </c>
    </row>
    <row r="42">
      <c r="A42" s="3" t="inlineStr">
        <is>
          <t>Default Risk</t>
        </is>
      </c>
      <c r="B42" s="4" t="n">
        <v>55809</v>
      </c>
      <c r="C42" s="4" t="n">
        <v>62361</v>
      </c>
      <c r="D42" s="4" t="n">
        <v>438</v>
      </c>
      <c r="E42" s="4" t="n">
        <v>2173</v>
      </c>
      <c r="F42" s="4" t="n">
        <v>9</v>
      </c>
      <c r="G42" s="5">
        <f>IFERROR(D42/C42,"")</f>
        <v/>
      </c>
      <c r="H42" s="5">
        <f>IFERROR(F42/C42,"")</f>
        <v/>
      </c>
      <c r="I42" s="5">
        <f>IFERROR(E42/C42,"")</f>
        <v/>
      </c>
    </row>
    <row r="43">
      <c r="A43" s="3" t="inlineStr">
        <is>
          <t>High Equity</t>
        </is>
      </c>
      <c r="B43" s="4" t="n">
        <v>106749</v>
      </c>
      <c r="C43" s="4" t="n">
        <v>58882</v>
      </c>
      <c r="D43" s="4" t="n">
        <v>315</v>
      </c>
      <c r="E43" s="4" t="n">
        <v>2127</v>
      </c>
      <c r="F43" s="4" t="n">
        <v>7</v>
      </c>
      <c r="G43" s="5">
        <f>IFERROR(D43/C43,"")</f>
        <v/>
      </c>
      <c r="H43" s="5">
        <f>IFERROR(F43/C43,"")</f>
        <v/>
      </c>
      <c r="I43" s="5">
        <f>IFERROR(E43/C43,"")</f>
        <v/>
      </c>
    </row>
    <row r="44">
      <c r="A44" s="3" t="inlineStr">
        <is>
          <t>55+ (Senior)</t>
        </is>
      </c>
      <c r="B44" s="4" t="n">
        <v>16875</v>
      </c>
      <c r="C44" s="4" t="n">
        <v>6710</v>
      </c>
      <c r="D44" s="4" t="n">
        <v>267</v>
      </c>
      <c r="E44" s="4" t="n">
        <v>287</v>
      </c>
      <c r="F44" s="4" t="n">
        <v>0</v>
      </c>
      <c r="G44" s="5">
        <f>IFERROR(D44/C44,"")</f>
        <v/>
      </c>
      <c r="H44" s="5">
        <f>IFERROR(F44/C44,"")</f>
        <v/>
      </c>
      <c r="I44" s="5">
        <f>IFERROR(E44/C44,"")</f>
        <v/>
      </c>
    </row>
    <row r="45">
      <c r="A45" s="3" t="inlineStr">
        <is>
          <t>Absentee</t>
        </is>
      </c>
      <c r="B45" s="4" t="n">
        <v>47095</v>
      </c>
      <c r="C45" s="4" t="n">
        <v>16484</v>
      </c>
      <c r="D45" s="4" t="n">
        <v>208</v>
      </c>
      <c r="E45" s="4" t="n">
        <v>862</v>
      </c>
      <c r="F45" s="4" t="n">
        <v>3</v>
      </c>
      <c r="G45" s="5">
        <f>IFERROR(D45/C45,"")</f>
        <v/>
      </c>
      <c r="H45" s="5">
        <f>IFERROR(F45/C45,"")</f>
        <v/>
      </c>
      <c r="I45" s="5">
        <f>IFERROR(E45/C45,"")</f>
        <v/>
      </c>
    </row>
    <row r="46">
      <c r="A46" s="3" t="inlineStr">
        <is>
          <t>Absentee Out of State</t>
        </is>
      </c>
      <c r="B46" s="4" t="n">
        <v>13197</v>
      </c>
      <c r="C46" s="4" t="n">
        <v>3817</v>
      </c>
      <c r="D46" s="4" t="n">
        <v>23</v>
      </c>
      <c r="E46" s="4" t="n">
        <v>172</v>
      </c>
      <c r="F46" s="4" t="n">
        <v>1</v>
      </c>
      <c r="G46" s="5">
        <f>IFERROR(D46/C46,"")</f>
        <v/>
      </c>
      <c r="H46" s="5">
        <f>IFERROR(F46/C46,"")</f>
        <v/>
      </c>
      <c r="I46" s="5">
        <f>IFERROR(E46/C46,"")</f>
        <v/>
      </c>
    </row>
    <row r="47">
      <c r="A47" s="3" t="inlineStr">
        <is>
          <t>Downsizing</t>
        </is>
      </c>
      <c r="B47" s="4" t="n">
        <v>26786</v>
      </c>
      <c r="C47" s="4" t="n">
        <v>17911</v>
      </c>
      <c r="D47" s="4" t="n">
        <v>0</v>
      </c>
      <c r="E47" s="4" t="n">
        <v>716</v>
      </c>
      <c r="F47" s="4" t="n">
        <v>2</v>
      </c>
      <c r="G47" s="5">
        <f>IFERROR(D47/C47,"")</f>
        <v/>
      </c>
      <c r="H47" s="5">
        <f>IFERROR(F47/C47,"")</f>
        <v/>
      </c>
      <c r="I47" s="5">
        <f>IFERROR(E47/C47,"")</f>
        <v/>
      </c>
    </row>
    <row r="48">
      <c r="A48" s="3" t="inlineStr">
        <is>
          <t>Owner Occupied</t>
        </is>
      </c>
      <c r="B48" s="4" t="n">
        <v>160292</v>
      </c>
      <c r="C48" s="4" t="n">
        <v>98787</v>
      </c>
      <c r="D48" s="4" t="n">
        <v>1082</v>
      </c>
      <c r="E48" s="4" t="n">
        <v>3491</v>
      </c>
      <c r="F48" s="4" t="n">
        <v>9</v>
      </c>
      <c r="G48" s="5">
        <f>IFERROR(D48/C48,"")</f>
        <v/>
      </c>
      <c r="H48" s="5">
        <f>IFERROR(F48/C48,"")</f>
        <v/>
      </c>
      <c r="I48" s="5">
        <f>IFERROR(E48/C48,"")</f>
        <v/>
      </c>
    </row>
    <row r="49">
      <c r="A49" s="6" t="inlineStr">
        <is>
          <t>Total</t>
        </is>
      </c>
      <c r="B49" s="7" t="n">
        <v>451516</v>
      </c>
      <c r="C49" s="7" t="n">
        <v>282404</v>
      </c>
      <c r="D49" s="7" t="n">
        <v>2460</v>
      </c>
      <c r="E49" s="7" t="n">
        <v>11500</v>
      </c>
      <c r="F49" s="7" t="n">
        <v>39</v>
      </c>
      <c r="G49" s="8">
        <f>IFERROR(D49/C49,"")</f>
        <v/>
      </c>
      <c r="H49" s="8">
        <f>IFERROR(F49/C49,"")</f>
        <v/>
      </c>
      <c r="I49" s="8">
        <f>IFERROR(E49/C49,"")</f>
        <v/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2026-04-02T00:55:52Z</dcterms:created>
  <dcterms:modified xsi:type="dcterms:W3CDTF">2026-04-02T00:55:52Z</dcterms:modified>
</cp:coreProperties>
</file>