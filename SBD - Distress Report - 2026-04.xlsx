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 Logic - BCDE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Georgia"/>
      <b val="1"/>
      <sz val="10"/>
    </font>
    <font>
      <name val="Helvetica"/>
      <sz val="10"/>
    </font>
    <font>
      <name val="Helvetica"/>
      <b val="1"/>
      <color rgb="000B5394"/>
      <sz val="10"/>
    </font>
    <font>
      <name val="Helvetica"/>
      <color rgb="00444444"/>
      <sz val="10"/>
    </font>
    <font>
      <name val="Helvetica"/>
      <b val="1"/>
      <sz val="10"/>
    </font>
    <font>
      <name val="Helvetica"/>
      <b val="1"/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Atlas Report</author>
  </authors>
  <commentList>
    <comment ref="A1" authorId="0" shapeId="0">
      <text>
        <t>Category
Row labels for each section. Section headers: Likely Deal Score, Total Score, Action Plan, Mkt Count, Distress. Sub-rows are the range buckets or distress types within each section, plus a Total row at the bottom of each section.</t>
      </text>
    </comment>
    <comment ref="B1" authorId="0" shapeId="0">
      <text>
        <t>Total Properties
All properties in the domain with BUYBOX SCORE &gt; 0 — the full addressable universe.
Likely Deal Score / Total Score: all scored properties.
Action Plan: only properties that have an action plan assigned.
Mkt Count: only properties with at least 1 marketing contact (DM or SMS).
Distress: derived from binary domain columns; DEFAULT RISK is a direct domain column.
Owner Occupied: ABSENTEE == 0 (NaN excluded — unknown is not owner-occupied).</t>
      </text>
    </comment>
    <comment ref="C1" authorId="0" shapeId="0">
      <text>
        <t>Properties in the Fulfillment
Unique properties (by FOLIO) recommended across all fulfillment files in the 3-month analysis window.
Scores: MAX across all months per property.
Action Plan: best (lowest day count) across all months.
Mkt Count: max(total DM contacts, total SMS contacts) — strongest channel only; properties with 0 contacts are treated as 1 (recommended at least once).
Distress: MAIN DISTRESS #1–4 + binary VACANT + Default Risk cross-referenced from domain by FOLIO.
Owner Occupied: cross-referenced from domain ABSENTEE column.</t>
      </text>
    </comment>
    <comment ref="D1" authorId="0" shapeId="0">
      <text>
        <t>Sold
Properties sold since Aug 01 2025 that were also recommended in a fulfillment.
Cutoff = start of the 2025-08 – 2026-01 fulfillment window.
Only fulfillment-matched properties are included (domain-only sold properties excluded).
Scores are pre-sale fulfillment MAX values (snapshot before the sale).
Distress derived from domain binary columns on the sold subset.</t>
      </text>
    </comment>
    <comment ref="E1" authorId="0" shapeId="0">
      <text>
        <t>Market Deals
Properties believed to have been bought at a significant discount — typically bought and resold for a profit in a short period of time. These represent investor market transactions that overlapped with properties the client was recommended.
Source: properties that appear in both the Market Deals file and the fulfillment-sold subset.
Join: Market Deals PropertyID matched to domain PROPERTY ID (BUYBOX).
Scores: pre-sale fulfillment MAX values (same as Column D).
Distress derived from domain binary columns on this overlap subset.</t>
      </text>
    </comment>
    <comment ref="F1" authorId="0" shapeId="0">
      <text>
        <t>Clients Lead
Leads, Appointments, Dead Leads, and Contracts from the Deals &amp; Leads file that matched a fulfillment property via FOLIO.
Status mapping: Lead, Appointment, Dead Lead, and Contract all count as a Lead here.
Date filter: Lead Date or Appointment Date &gt;= client start date. Blank dates are included — they cannot be ruled out.
Contracts use Lead Date if available; blank date — always included.
Only fulfillment-matched rows are counted. Unmatched rows are excluded.
Scores: fulfillment MAX values. Mkt: 0 contacts treated as 1.</t>
      </text>
    </comment>
    <comment ref="G1" authorId="0" shapeId="0">
      <text>
        <t>Client Deals
Deals from the Deals &amp; Leads file that matched a fulfillment property via FOLIO.
Date filter: Last Sale Date &gt;= client start date (must have a valid date).
Only fulfillment-matched deals are counted. Unmatched deals are excluded.
Scores: fulfillment MAX values.</t>
      </text>
    </comment>
    <comment ref="H1" authorId="0" shapeId="0">
      <text>
        <t>Sold Concentration %
Formula: =D/C
Share of fulfillment-recommended properties that were sold since Aug 01 2025. Measures how many of the recommended properties transacted.</t>
      </text>
    </comment>
    <comment ref="I1" authorId="0" shapeId="0">
      <text>
        <t>Sold to Investors Concentration
Formula: =E/C
Share of fulfillment-recommended properties that were sold to investors (market deals). Measures investor acquisition rate within the fulfillment population.</t>
      </text>
    </comment>
    <comment ref="J1" authorId="0" shapeId="0">
      <text>
        <t>Client Deals Concentration
Formula: =G/C
Share of fulfillment-recommended properties that resulted in a client deal. Measures deal conversion rate within the fulfillment population.</t>
      </text>
    </comment>
    <comment ref="K1" authorId="0" shapeId="0">
      <text>
        <t>Client Leads Concentration
Formula: =F/C
Share of fulfillment-recommended properties that generated a client lead (includes Leads, Appointments, Dead Leads, and Contracts). Measures lead engagement rate within the fulfillment population.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6" customHeight="1">
      <c r="A1" s="1" t="inlineStr">
        <is>
          <t>Category</t>
        </is>
      </c>
      <c r="B1" s="1" t="inlineStr">
        <is>
          <t>Total Properties</t>
        </is>
      </c>
      <c r="C1" s="1" t="inlineStr">
        <is>
          <t>Properties in the fulfillment</t>
        </is>
      </c>
      <c r="D1" s="1" t="inlineStr">
        <is>
          <t>Sold</t>
        </is>
      </c>
      <c r="E1" s="1" t="inlineStr">
        <is>
          <t>Market Deals</t>
        </is>
      </c>
      <c r="F1" s="1" t="inlineStr">
        <is>
          <t>Clients Lead</t>
        </is>
      </c>
      <c r="G1" s="1" t="inlineStr">
        <is>
          <t>Client Deals</t>
        </is>
      </c>
      <c r="H1" s="1" t="inlineStr">
        <is>
          <t>Sold Concentration %Sold</t>
        </is>
      </c>
      <c r="I1" s="1" t="inlineStr">
        <is>
          <t>Sold to investors concentration</t>
        </is>
      </c>
      <c r="J1" s="1" t="inlineStr">
        <is>
          <t>Client Deals Concentration</t>
        </is>
      </c>
      <c r="K1" s="1" t="inlineStr">
        <is>
          <t>Client Leads Concentration</t>
        </is>
      </c>
    </row>
    <row r="2">
      <c r="A2" s="2" t="inlineStr">
        <is>
          <t>Likely Deal Score</t>
        </is>
      </c>
      <c r="B2" s="2" t="inlineStr">
        <is>
          <t>Total Properties</t>
        </is>
      </c>
      <c r="C2" s="2" t="inlineStr">
        <is>
          <t>Properties in the fulfillment</t>
        </is>
      </c>
      <c r="D2" s="2" t="inlineStr">
        <is>
          <t>Sold</t>
        </is>
      </c>
      <c r="E2" s="2" t="inlineStr">
        <is>
          <t>Market Deals</t>
        </is>
      </c>
      <c r="F2" s="2" t="inlineStr">
        <is>
          <t>Clients Lead</t>
        </is>
      </c>
      <c r="G2" s="2" t="inlineStr">
        <is>
          <t>Client Deals</t>
        </is>
      </c>
      <c r="H2" s="2" t="inlineStr">
        <is>
          <t>Sold Concentration %Sold</t>
        </is>
      </c>
      <c r="I2" s="2" t="inlineStr">
        <is>
          <t>Sold to investors concentration</t>
        </is>
      </c>
      <c r="J2" s="2" t="inlineStr">
        <is>
          <t>Client Deals Concentration</t>
        </is>
      </c>
      <c r="K2" s="2" t="inlineStr">
        <is>
          <t>Client Leads Concentration</t>
        </is>
      </c>
    </row>
    <row r="3">
      <c r="A3" s="3" t="inlineStr">
        <is>
          <t>100-81</t>
        </is>
      </c>
      <c r="B3" s="4" t="n">
        <v>2646</v>
      </c>
      <c r="C3" s="4" t="n">
        <v>2831</v>
      </c>
      <c r="D3" s="4" t="n">
        <v>143</v>
      </c>
      <c r="E3" s="4" t="n">
        <v>131</v>
      </c>
      <c r="F3" s="4" t="n">
        <v>123</v>
      </c>
      <c r="G3" s="4" t="n">
        <v>1</v>
      </c>
      <c r="H3" s="5">
        <f>IFERROR(D3/C3,"")</f>
        <v/>
      </c>
      <c r="I3" s="5">
        <f>IFERROR(E3/C3,"")</f>
        <v/>
      </c>
      <c r="J3" s="5">
        <f>IFERROR(G3/C3,"")</f>
        <v/>
      </c>
      <c r="K3" s="5">
        <f>IFERROR(F3/C3,"")</f>
        <v/>
      </c>
    </row>
    <row r="4">
      <c r="A4" s="3" t="inlineStr">
        <is>
          <t>80-61</t>
        </is>
      </c>
      <c r="B4" s="4" t="n">
        <v>7974</v>
      </c>
      <c r="C4" s="4" t="n">
        <v>6656</v>
      </c>
      <c r="D4" s="4" t="n">
        <v>132</v>
      </c>
      <c r="E4" s="4" t="n">
        <v>108</v>
      </c>
      <c r="F4" s="4" t="n">
        <v>90</v>
      </c>
      <c r="G4" s="4" t="n">
        <v>1</v>
      </c>
      <c r="H4" s="5">
        <f>IFERROR(D4/C4,"")</f>
        <v/>
      </c>
      <c r="I4" s="5">
        <f>IFERROR(E4/C4,"")</f>
        <v/>
      </c>
      <c r="J4" s="5">
        <f>IFERROR(G4/C4,"")</f>
        <v/>
      </c>
      <c r="K4" s="5">
        <f>IFERROR(F4/C4,"")</f>
        <v/>
      </c>
    </row>
    <row r="5">
      <c r="A5" s="3" t="inlineStr">
        <is>
          <t>60-41</t>
        </is>
      </c>
      <c r="B5" s="4" t="n">
        <v>52767</v>
      </c>
      <c r="C5" s="4" t="n">
        <v>34992</v>
      </c>
      <c r="D5" s="4" t="n">
        <v>541</v>
      </c>
      <c r="E5" s="4" t="n">
        <v>411</v>
      </c>
      <c r="F5" s="4" t="n">
        <v>369</v>
      </c>
      <c r="G5" s="4" t="n">
        <v>2</v>
      </c>
      <c r="H5" s="5">
        <f>IFERROR(D5/C5,"")</f>
        <v/>
      </c>
      <c r="I5" s="5">
        <f>IFERROR(E5/C5,"")</f>
        <v/>
      </c>
      <c r="J5" s="5">
        <f>IFERROR(G5/C5,"")</f>
        <v/>
      </c>
      <c r="K5" s="5">
        <f>IFERROR(F5/C5,"")</f>
        <v/>
      </c>
    </row>
    <row r="6">
      <c r="A6" s="3" t="inlineStr">
        <is>
          <t>40-21</t>
        </is>
      </c>
      <c r="B6" s="4" t="n">
        <v>167736</v>
      </c>
      <c r="C6" s="4" t="n">
        <v>140852</v>
      </c>
      <c r="D6" s="4" t="n">
        <v>1646</v>
      </c>
      <c r="E6" s="4" t="n">
        <v>1115</v>
      </c>
      <c r="F6" s="4" t="n">
        <v>1360</v>
      </c>
      <c r="G6" s="4" t="n">
        <v>10</v>
      </c>
      <c r="H6" s="5">
        <f>IFERROR(D6/C6,"")</f>
        <v/>
      </c>
      <c r="I6" s="5">
        <f>IFERROR(E6/C6,"")</f>
        <v/>
      </c>
      <c r="J6" s="5">
        <f>IFERROR(G6/C6,"")</f>
        <v/>
      </c>
      <c r="K6" s="5">
        <f>IFERROR(F6/C6,"")</f>
        <v/>
      </c>
    </row>
    <row r="7">
      <c r="A7" s="3" t="inlineStr">
        <is>
          <t>20-0</t>
        </is>
      </c>
      <c r="B7" s="4" t="n">
        <v>23792</v>
      </c>
      <c r="C7" s="4" t="n">
        <v>47935</v>
      </c>
      <c r="D7" s="4" t="n">
        <v>2425</v>
      </c>
      <c r="E7" s="4" t="n">
        <v>1519</v>
      </c>
      <c r="F7" s="4" t="n">
        <v>2748</v>
      </c>
      <c r="G7" s="4" t="n">
        <v>27</v>
      </c>
      <c r="H7" s="5">
        <f>IFERROR(D7/C7,"")</f>
        <v/>
      </c>
      <c r="I7" s="5">
        <f>IFERROR(E7/C7,"")</f>
        <v/>
      </c>
      <c r="J7" s="5">
        <f>IFERROR(G7/C7,"")</f>
        <v/>
      </c>
      <c r="K7" s="5">
        <f>IFERROR(F7/C7,"")</f>
        <v/>
      </c>
    </row>
    <row r="8">
      <c r="A8" s="6" t="inlineStr">
        <is>
          <t>Total</t>
        </is>
      </c>
      <c r="B8" s="7" t="n">
        <v>254915</v>
      </c>
      <c r="C8" s="7" t="n">
        <v>233266</v>
      </c>
      <c r="D8" s="7" t="n">
        <v>4887</v>
      </c>
      <c r="E8" s="7" t="n">
        <v>3284</v>
      </c>
      <c r="F8" s="7" t="n">
        <v>4690</v>
      </c>
      <c r="G8" s="7" t="n">
        <v>41</v>
      </c>
      <c r="H8" s="8">
        <f>IFERROR(D8/C8,"")</f>
        <v/>
      </c>
      <c r="I8" s="8">
        <f>IFERROR(E8/C8,"")</f>
        <v/>
      </c>
      <c r="J8" s="8">
        <f>IFERROR(G8/C8,"")</f>
        <v/>
      </c>
      <c r="K8" s="8">
        <f>IFERROR(F8/C8,"")</f>
        <v/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inlineStr">
        <is>
          <t>Total Score</t>
        </is>
      </c>
      <c r="B10" s="2" t="inlineStr">
        <is>
          <t>Total Properties</t>
        </is>
      </c>
      <c r="C10" s="2" t="inlineStr">
        <is>
          <t>Properties in the fulfillment</t>
        </is>
      </c>
      <c r="D10" s="2" t="inlineStr">
        <is>
          <t>Sold</t>
        </is>
      </c>
      <c r="E10" s="2" t="inlineStr">
        <is>
          <t>Market Deals</t>
        </is>
      </c>
      <c r="F10" s="2" t="inlineStr">
        <is>
          <t>Clients Lead</t>
        </is>
      </c>
      <c r="G10" s="2" t="inlineStr">
        <is>
          <t>Client Deals</t>
        </is>
      </c>
      <c r="H10" s="2" t="inlineStr">
        <is>
          <t>Sold Concentration %Sold</t>
        </is>
      </c>
      <c r="I10" s="2" t="inlineStr">
        <is>
          <t>Sold to investors concentration</t>
        </is>
      </c>
      <c r="J10" s="2" t="inlineStr">
        <is>
          <t>Client Deals Concentration</t>
        </is>
      </c>
      <c r="K10" s="2" t="inlineStr">
        <is>
          <t>Client Leads Concentration</t>
        </is>
      </c>
    </row>
    <row r="11">
      <c r="A11" s="3" t="inlineStr">
        <is>
          <t>1000-801</t>
        </is>
      </c>
      <c r="B11" s="4" t="n">
        <v>4185</v>
      </c>
      <c r="C11" s="4" t="n">
        <v>4795</v>
      </c>
      <c r="D11" s="4" t="n">
        <v>123</v>
      </c>
      <c r="E11" s="4" t="n">
        <v>108</v>
      </c>
      <c r="F11" s="4" t="n">
        <v>106</v>
      </c>
      <c r="G11" s="4" t="n">
        <v>1</v>
      </c>
      <c r="H11" s="5">
        <f>IFERROR(D11/C11,"")</f>
        <v/>
      </c>
      <c r="I11" s="5">
        <f>IFERROR(E11/C11,"")</f>
        <v/>
      </c>
      <c r="J11" s="5">
        <f>IFERROR(G11/C11,"")</f>
        <v/>
      </c>
      <c r="K11" s="5">
        <f>IFERROR(F11/C11,"")</f>
        <v/>
      </c>
    </row>
    <row r="12">
      <c r="A12" s="3" t="inlineStr">
        <is>
          <t>800-601</t>
        </is>
      </c>
      <c r="B12" s="4" t="n">
        <v>81960</v>
      </c>
      <c r="C12" s="4" t="n">
        <v>81806</v>
      </c>
      <c r="D12" s="4" t="n">
        <v>969</v>
      </c>
      <c r="E12" s="4" t="n">
        <v>709</v>
      </c>
      <c r="F12" s="4" t="n">
        <v>940</v>
      </c>
      <c r="G12" s="4" t="n">
        <v>7</v>
      </c>
      <c r="H12" s="5">
        <f>IFERROR(D12/C12,"")</f>
        <v/>
      </c>
      <c r="I12" s="5">
        <f>IFERROR(E12/C12,"")</f>
        <v/>
      </c>
      <c r="J12" s="5">
        <f>IFERROR(G12/C12,"")</f>
        <v/>
      </c>
      <c r="K12" s="5">
        <f>IFERROR(F12/C12,"")</f>
        <v/>
      </c>
    </row>
    <row r="13">
      <c r="A13" s="3" t="inlineStr">
        <is>
          <t>600-401</t>
        </is>
      </c>
      <c r="B13" s="4" t="n">
        <v>24151</v>
      </c>
      <c r="C13" s="4" t="n">
        <v>19820</v>
      </c>
      <c r="D13" s="4" t="n">
        <v>625</v>
      </c>
      <c r="E13" s="4" t="n">
        <v>456</v>
      </c>
      <c r="F13" s="4" t="n">
        <v>665</v>
      </c>
      <c r="G13" s="4" t="n">
        <v>8</v>
      </c>
      <c r="H13" s="5">
        <f>IFERROR(D13/C13,"")</f>
        <v/>
      </c>
      <c r="I13" s="5">
        <f>IFERROR(E13/C13,"")</f>
        <v/>
      </c>
      <c r="J13" s="5">
        <f>IFERROR(G13/C13,"")</f>
        <v/>
      </c>
      <c r="K13" s="5">
        <f>IFERROR(F13/C13,"")</f>
        <v/>
      </c>
    </row>
    <row r="14">
      <c r="A14" s="3" t="inlineStr">
        <is>
          <t>400-201</t>
        </is>
      </c>
      <c r="B14" s="4" t="n">
        <v>60136</v>
      </c>
      <c r="C14" s="4" t="n">
        <v>50913</v>
      </c>
      <c r="D14" s="4" t="n">
        <v>1139</v>
      </c>
      <c r="E14" s="4" t="n">
        <v>795</v>
      </c>
      <c r="F14" s="4" t="n">
        <v>1391</v>
      </c>
      <c r="G14" s="4" t="n">
        <v>13</v>
      </c>
      <c r="H14" s="5">
        <f>IFERROR(D14/C14,"")</f>
        <v/>
      </c>
      <c r="I14" s="5">
        <f>IFERROR(E14/C14,"")</f>
        <v/>
      </c>
      <c r="J14" s="5">
        <f>IFERROR(G14/C14,"")</f>
        <v/>
      </c>
      <c r="K14" s="5">
        <f>IFERROR(F14/C14,"")</f>
        <v/>
      </c>
    </row>
    <row r="15">
      <c r="A15" s="3" t="inlineStr">
        <is>
          <t>200-0</t>
        </is>
      </c>
      <c r="B15" s="4" t="n">
        <v>84483</v>
      </c>
      <c r="C15" s="4" t="n">
        <v>75932</v>
      </c>
      <c r="D15" s="4" t="n">
        <v>2031</v>
      </c>
      <c r="E15" s="4" t="n">
        <v>1216</v>
      </c>
      <c r="F15" s="4" t="n">
        <v>1588</v>
      </c>
      <c r="G15" s="4" t="n">
        <v>12</v>
      </c>
      <c r="H15" s="5">
        <f>IFERROR(D15/C15,"")</f>
        <v/>
      </c>
      <c r="I15" s="5">
        <f>IFERROR(E15/C15,"")</f>
        <v/>
      </c>
      <c r="J15" s="5">
        <f>IFERROR(G15/C15,"")</f>
        <v/>
      </c>
      <c r="K15" s="5">
        <f>IFERROR(F15/C15,"")</f>
        <v/>
      </c>
    </row>
    <row r="16">
      <c r="A16" s="6" t="inlineStr">
        <is>
          <t>Total</t>
        </is>
      </c>
      <c r="B16" s="7" t="n">
        <v>254915</v>
      </c>
      <c r="C16" s="7" t="n">
        <v>233266</v>
      </c>
      <c r="D16" s="7" t="n">
        <v>4887</v>
      </c>
      <c r="E16" s="7" t="n">
        <v>3284</v>
      </c>
      <c r="F16" s="7" t="n">
        <v>4690</v>
      </c>
      <c r="G16" s="7" t="n">
        <v>41</v>
      </c>
      <c r="H16" s="8">
        <f>IFERROR(D16/C16,"")</f>
        <v/>
      </c>
      <c r="I16" s="8">
        <f>IFERROR(E16/C16,"")</f>
        <v/>
      </c>
      <c r="J16" s="8">
        <f>IFERROR(G16/C16,"")</f>
        <v/>
      </c>
      <c r="K16" s="8">
        <f>IFERROR(F16/C16,"")</f>
        <v/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inlineStr">
        <is>
          <t>Action Plan</t>
        </is>
      </c>
      <c r="B18" s="2" t="inlineStr">
        <is>
          <t>Total Properties</t>
        </is>
      </c>
      <c r="C18" s="2" t="inlineStr">
        <is>
          <t>Properties in the fulfillment</t>
        </is>
      </c>
      <c r="D18" s="2" t="inlineStr">
        <is>
          <t>Sold</t>
        </is>
      </c>
      <c r="E18" s="2" t="inlineStr">
        <is>
          <t>Market Deals</t>
        </is>
      </c>
      <c r="F18" s="2" t="inlineStr">
        <is>
          <t>Clients Lead</t>
        </is>
      </c>
      <c r="G18" s="2" t="inlineStr">
        <is>
          <t>Client Deals</t>
        </is>
      </c>
      <c r="H18" s="2" t="inlineStr">
        <is>
          <t>Sold Concentration %Sold</t>
        </is>
      </c>
      <c r="I18" s="2" t="inlineStr">
        <is>
          <t>Sold to investors concentration</t>
        </is>
      </c>
      <c r="J18" s="2" t="inlineStr">
        <is>
          <t>Client Deals Concentration</t>
        </is>
      </c>
      <c r="K18" s="2" t="inlineStr">
        <is>
          <t>Client Leads Concentration</t>
        </is>
      </c>
    </row>
    <row r="19">
      <c r="A19" s="3" t="inlineStr">
        <is>
          <t>30 day</t>
        </is>
      </c>
      <c r="B19" s="4" t="n">
        <v>1196</v>
      </c>
      <c r="C19" s="4" t="n">
        <v>5901</v>
      </c>
      <c r="D19" s="4" t="n">
        <v>142</v>
      </c>
      <c r="E19" s="4" t="n">
        <v>122</v>
      </c>
      <c r="F19" s="4" t="n">
        <v>138</v>
      </c>
      <c r="G19" s="4" t="n">
        <v>1</v>
      </c>
      <c r="H19" s="5">
        <f>IFERROR(D19/C19,"")</f>
        <v/>
      </c>
      <c r="I19" s="5">
        <f>IFERROR(E19/C19,"")</f>
        <v/>
      </c>
      <c r="J19" s="5">
        <f>IFERROR(G19/C19,"")</f>
        <v/>
      </c>
      <c r="K19" s="5">
        <f>IFERROR(F19/C19,"")</f>
        <v/>
      </c>
    </row>
    <row r="20">
      <c r="A20" s="3" t="inlineStr">
        <is>
          <t>60 day</t>
        </is>
      </c>
      <c r="B20" s="4" t="n">
        <v>42072</v>
      </c>
      <c r="C20" s="4" t="n">
        <v>77587</v>
      </c>
      <c r="D20" s="4" t="n">
        <v>1200</v>
      </c>
      <c r="E20" s="4" t="n">
        <v>857</v>
      </c>
      <c r="F20" s="4" t="n">
        <v>1337</v>
      </c>
      <c r="G20" s="4" t="n">
        <v>13</v>
      </c>
      <c r="H20" s="5">
        <f>IFERROR(D20/C20,"")</f>
        <v/>
      </c>
      <c r="I20" s="5">
        <f>IFERROR(E20/C20,"")</f>
        <v/>
      </c>
      <c r="J20" s="5">
        <f>IFERROR(G20/C20,"")</f>
        <v/>
      </c>
      <c r="K20" s="5">
        <f>IFERROR(F20/C20,"")</f>
        <v/>
      </c>
    </row>
    <row r="21">
      <c r="A21" s="3" t="inlineStr">
        <is>
          <t>90 day</t>
        </is>
      </c>
      <c r="B21" s="4" t="n">
        <v>177966</v>
      </c>
      <c r="C21" s="4" t="n">
        <v>149778</v>
      </c>
      <c r="D21" s="4" t="n">
        <v>3545</v>
      </c>
      <c r="E21" s="4" t="n">
        <v>2305</v>
      </c>
      <c r="F21" s="4" t="n">
        <v>3215</v>
      </c>
      <c r="G21" s="4" t="n">
        <v>27</v>
      </c>
      <c r="H21" s="5">
        <f>IFERROR(D21/C21,"")</f>
        <v/>
      </c>
      <c r="I21" s="5">
        <f>IFERROR(E21/C21,"")</f>
        <v/>
      </c>
      <c r="J21" s="5">
        <f>IFERROR(G21/C21,"")</f>
        <v/>
      </c>
      <c r="K21" s="5">
        <f>IFERROR(F21/C21,"")</f>
        <v/>
      </c>
    </row>
    <row r="22">
      <c r="A22" s="6" t="inlineStr">
        <is>
          <t>Total</t>
        </is>
      </c>
      <c r="B22" s="7" t="n">
        <v>221234</v>
      </c>
      <c r="C22" s="7" t="n">
        <v>233266</v>
      </c>
      <c r="D22" s="7" t="n">
        <v>4887</v>
      </c>
      <c r="E22" s="7" t="n">
        <v>3284</v>
      </c>
      <c r="F22" s="7" t="n">
        <v>4690</v>
      </c>
      <c r="G22" s="7" t="n">
        <v>41</v>
      </c>
      <c r="H22" s="8">
        <f>IFERROR(D22/C22,"")</f>
        <v/>
      </c>
      <c r="I22" s="8">
        <f>IFERROR(E22/C22,"")</f>
        <v/>
      </c>
      <c r="J22" s="8">
        <f>IFERROR(G22/C22,"")</f>
        <v/>
      </c>
      <c r="K22" s="8">
        <f>IFERROR(F22/C22,"")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inlineStr">
        <is>
          <t>Mkt Count</t>
        </is>
      </c>
      <c r="B24" s="2" t="inlineStr">
        <is>
          <t>Total Properties</t>
        </is>
      </c>
      <c r="C24" s="2" t="inlineStr">
        <is>
          <t>Properties in the fulfillment</t>
        </is>
      </c>
      <c r="D24" s="2" t="inlineStr">
        <is>
          <t>Sold</t>
        </is>
      </c>
      <c r="E24" s="2" t="inlineStr">
        <is>
          <t>Market Deals</t>
        </is>
      </c>
      <c r="F24" s="2" t="inlineStr">
        <is>
          <t>Clients Lead</t>
        </is>
      </c>
      <c r="G24" s="2" t="inlineStr">
        <is>
          <t>Client Deals</t>
        </is>
      </c>
      <c r="H24" s="2" t="inlineStr">
        <is>
          <t>Sold Concentration %Sold</t>
        </is>
      </c>
      <c r="I24" s="2" t="inlineStr">
        <is>
          <t>Sold to investors concentration</t>
        </is>
      </c>
      <c r="J24" s="2" t="inlineStr">
        <is>
          <t>Client Deals Concentration</t>
        </is>
      </c>
      <c r="K24" s="2" t="inlineStr">
        <is>
          <t>Client Leads Concentration</t>
        </is>
      </c>
    </row>
    <row r="25">
      <c r="A25" s="3" t="inlineStr">
        <is>
          <t>1 to 5</t>
        </is>
      </c>
      <c r="B25" s="4" t="n">
        <v>92491</v>
      </c>
      <c r="C25" s="4" t="n">
        <v>83824</v>
      </c>
      <c r="D25" s="4" t="n">
        <v>2496</v>
      </c>
      <c r="E25" s="4" t="n">
        <v>1619</v>
      </c>
      <c r="F25" s="4" t="n">
        <v>1629</v>
      </c>
      <c r="G25" s="4" t="n">
        <v>13</v>
      </c>
      <c r="H25" s="5">
        <f>IFERROR(D25/C25,"")</f>
        <v/>
      </c>
      <c r="I25" s="5">
        <f>IFERROR(E25/C25,"")</f>
        <v/>
      </c>
      <c r="J25" s="5">
        <f>IFERROR(G25/C25,"")</f>
        <v/>
      </c>
      <c r="K25" s="5">
        <f>IFERROR(F25/C25,"")</f>
        <v/>
      </c>
    </row>
    <row r="26">
      <c r="A26" s="3" t="inlineStr">
        <is>
          <t>6 to 10</t>
        </is>
      </c>
      <c r="B26" s="4" t="n">
        <v>77235</v>
      </c>
      <c r="C26" s="4" t="n">
        <v>39666</v>
      </c>
      <c r="D26" s="4" t="n">
        <v>909</v>
      </c>
      <c r="E26" s="4" t="n">
        <v>631</v>
      </c>
      <c r="F26" s="4" t="n">
        <v>898</v>
      </c>
      <c r="G26" s="4" t="n">
        <v>19</v>
      </c>
      <c r="H26" s="5">
        <f>IFERROR(D26/C26,"")</f>
        <v/>
      </c>
      <c r="I26" s="5">
        <f>IFERROR(E26/C26,"")</f>
        <v/>
      </c>
      <c r="J26" s="5">
        <f>IFERROR(G26/C26,"")</f>
        <v/>
      </c>
      <c r="K26" s="5">
        <f>IFERROR(F26/C26,"")</f>
        <v/>
      </c>
    </row>
    <row r="27">
      <c r="A27" s="3" t="inlineStr">
        <is>
          <t>11 to 19</t>
        </is>
      </c>
      <c r="B27" s="4" t="n">
        <v>62550</v>
      </c>
      <c r="C27" s="4" t="n">
        <v>40619</v>
      </c>
      <c r="D27" s="4" t="n">
        <v>757</v>
      </c>
      <c r="E27" s="4" t="n">
        <v>507</v>
      </c>
      <c r="F27" s="4" t="n">
        <v>1250</v>
      </c>
      <c r="G27" s="4" t="n">
        <v>8</v>
      </c>
      <c r="H27" s="5">
        <f>IFERROR(D27/C27,"")</f>
        <v/>
      </c>
      <c r="I27" s="5">
        <f>IFERROR(E27/C27,"")</f>
        <v/>
      </c>
      <c r="J27" s="5">
        <f>IFERROR(G27/C27,"")</f>
        <v/>
      </c>
      <c r="K27" s="5">
        <f>IFERROR(F27/C27,"")</f>
        <v/>
      </c>
    </row>
    <row r="28">
      <c r="A28" s="3" t="inlineStr">
        <is>
          <t>20+</t>
        </is>
      </c>
      <c r="B28" s="4" t="n">
        <v>1588</v>
      </c>
      <c r="C28" s="4" t="n">
        <v>69157</v>
      </c>
      <c r="D28" s="4" t="n">
        <v>725</v>
      </c>
      <c r="E28" s="4" t="n">
        <v>527</v>
      </c>
      <c r="F28" s="4" t="n">
        <v>913</v>
      </c>
      <c r="G28" s="4" t="n">
        <v>1</v>
      </c>
      <c r="H28" s="5">
        <f>IFERROR(D28/C28,"")</f>
        <v/>
      </c>
      <c r="I28" s="5">
        <f>IFERROR(E28/C28,"")</f>
        <v/>
      </c>
      <c r="J28" s="5">
        <f>IFERROR(G28/C28,"")</f>
        <v/>
      </c>
      <c r="K28" s="5">
        <f>IFERROR(F28/C28,"")</f>
        <v/>
      </c>
    </row>
    <row r="29">
      <c r="A29" s="6" t="inlineStr">
        <is>
          <t>Total</t>
        </is>
      </c>
      <c r="B29" s="7" t="n">
        <v>233864</v>
      </c>
      <c r="C29" s="7" t="n">
        <v>233266</v>
      </c>
      <c r="D29" s="7" t="n">
        <v>4887</v>
      </c>
      <c r="E29" s="7" t="n">
        <v>3284</v>
      </c>
      <c r="F29" s="7" t="n">
        <v>4690</v>
      </c>
      <c r="G29" s="7" t="n">
        <v>41</v>
      </c>
      <c r="H29" s="8">
        <f>IFERROR(D29/C29,"")</f>
        <v/>
      </c>
      <c r="I29" s="8">
        <f>IFERROR(E29/C29,"")</f>
        <v/>
      </c>
      <c r="J29" s="8">
        <f>IFERROR(G29/C29,"")</f>
        <v/>
      </c>
      <c r="K29" s="8">
        <f>IFERROR(F29/C29,"")</f>
        <v/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inlineStr">
        <is>
          <t>Distress</t>
        </is>
      </c>
      <c r="B31" s="2" t="inlineStr">
        <is>
          <t>Total Properties</t>
        </is>
      </c>
      <c r="C31" s="2" t="inlineStr">
        <is>
          <t>Properties in the fulfillment</t>
        </is>
      </c>
      <c r="D31" s="2" t="inlineStr">
        <is>
          <t>Sold</t>
        </is>
      </c>
      <c r="E31" s="2" t="inlineStr">
        <is>
          <t>Market Deals</t>
        </is>
      </c>
      <c r="F31" s="2" t="inlineStr">
        <is>
          <t>Clients Lead</t>
        </is>
      </c>
      <c r="G31" s="2" t="inlineStr">
        <is>
          <t>Client Deals</t>
        </is>
      </c>
      <c r="H31" s="2" t="inlineStr">
        <is>
          <t>Sold Concentration %Sold</t>
        </is>
      </c>
      <c r="I31" s="2" t="inlineStr">
        <is>
          <t>Sold to investors concentration</t>
        </is>
      </c>
      <c r="J31" s="2" t="inlineStr">
        <is>
          <t>Client Deals Concentration</t>
        </is>
      </c>
      <c r="K31" s="2" t="inlineStr">
        <is>
          <t>Client Leads Concentration</t>
        </is>
      </c>
    </row>
    <row r="32">
      <c r="A32" s="3" t="inlineStr">
        <is>
          <t>Pre-foreclosure</t>
        </is>
      </c>
      <c r="B32" s="4" t="n">
        <v>524</v>
      </c>
      <c r="C32" s="4" t="n">
        <v>687</v>
      </c>
      <c r="D32" s="4" t="n">
        <v>0</v>
      </c>
      <c r="E32" s="4" t="n">
        <v>0</v>
      </c>
      <c r="F32" s="4" t="n">
        <v>106</v>
      </c>
      <c r="G32" s="4" t="n">
        <v>1</v>
      </c>
      <c r="H32" s="5">
        <f>IFERROR(D32/C32,"")</f>
        <v/>
      </c>
      <c r="I32" s="5">
        <f>IFERROR(E32/C32,"")</f>
        <v/>
      </c>
      <c r="J32" s="5">
        <f>IFERROR(G32/C32,"")</f>
        <v/>
      </c>
      <c r="K32" s="5">
        <f>IFERROR(F32/C32,"")</f>
        <v/>
      </c>
    </row>
    <row r="33">
      <c r="A33" s="3" t="inlineStr">
        <is>
          <t>Vacant</t>
        </is>
      </c>
      <c r="B33" s="4" t="n">
        <v>2175</v>
      </c>
      <c r="C33" s="4" t="n">
        <v>2536</v>
      </c>
      <c r="D33" s="4" t="n">
        <v>229</v>
      </c>
      <c r="E33" s="4" t="n">
        <v>192</v>
      </c>
      <c r="F33" s="4" t="n">
        <v>99</v>
      </c>
      <c r="G33" s="4" t="n">
        <v>1</v>
      </c>
      <c r="H33" s="5">
        <f>IFERROR(D33/C33,"")</f>
        <v/>
      </c>
      <c r="I33" s="5">
        <f>IFERROR(E33/C33,"")</f>
        <v/>
      </c>
      <c r="J33" s="5">
        <f>IFERROR(G33/C33,"")</f>
        <v/>
      </c>
      <c r="K33" s="5">
        <f>IFERROR(F33/C33,"")</f>
        <v/>
      </c>
    </row>
    <row r="34">
      <c r="A34" s="3" t="inlineStr">
        <is>
          <t>Taxes (Tax Delinquent)</t>
        </is>
      </c>
      <c r="B34" s="4" t="n">
        <v>5385</v>
      </c>
      <c r="C34" s="4" t="n">
        <v>8753</v>
      </c>
      <c r="D34" s="4" t="n">
        <v>0</v>
      </c>
      <c r="E34" s="4" t="n">
        <v>0</v>
      </c>
      <c r="F34" s="4" t="n">
        <v>367</v>
      </c>
      <c r="G34" s="4" t="n">
        <v>4</v>
      </c>
      <c r="H34" s="5">
        <f>IFERROR(D34/C34,"")</f>
        <v/>
      </c>
      <c r="I34" s="5">
        <f>IFERROR(E34/C34,"")</f>
        <v/>
      </c>
      <c r="J34" s="5">
        <f>IFERROR(G34/C34,"")</f>
        <v/>
      </c>
      <c r="K34" s="5">
        <f>IFERROR(F34/C34,"")</f>
        <v/>
      </c>
    </row>
    <row r="35">
      <c r="A35" s="3" t="inlineStr">
        <is>
          <t>Estate (Pre-Probate)</t>
        </is>
      </c>
      <c r="B35" s="4" t="n">
        <v>179</v>
      </c>
      <c r="C35" s="4" t="n">
        <v>156</v>
      </c>
      <c r="D35" s="4" t="n">
        <v>1</v>
      </c>
      <c r="E35" s="4" t="n">
        <v>0</v>
      </c>
      <c r="F35" s="4" t="n">
        <v>3</v>
      </c>
      <c r="G35" s="4" t="n">
        <v>0</v>
      </c>
      <c r="H35" s="5">
        <f>IFERROR(D35/C35,"")</f>
        <v/>
      </c>
      <c r="I35" s="5">
        <f>IFERROR(E35/C35,"")</f>
        <v/>
      </c>
      <c r="J35" s="5">
        <f>IFERROR(G35/C35,"")</f>
        <v/>
      </c>
      <c r="K35" s="5">
        <f>IFERROR(F35/C35,"")</f>
        <v/>
      </c>
    </row>
    <row r="36">
      <c r="A36" s="3" t="inlineStr">
        <is>
          <t>Inter family transfer</t>
        </is>
      </c>
      <c r="B36" s="4" t="n">
        <v>2446</v>
      </c>
      <c r="C36" s="4" t="n">
        <v>2761</v>
      </c>
      <c r="D36" s="4" t="n">
        <v>1</v>
      </c>
      <c r="E36" s="4" t="n">
        <v>0</v>
      </c>
      <c r="F36" s="4" t="n">
        <v>40</v>
      </c>
      <c r="G36" s="4" t="n">
        <v>1</v>
      </c>
      <c r="H36" s="5">
        <f>IFERROR(D36/C36,"")</f>
        <v/>
      </c>
      <c r="I36" s="5">
        <f>IFERROR(E36/C36,"")</f>
        <v/>
      </c>
      <c r="J36" s="5">
        <f>IFERROR(G36/C36,"")</f>
        <v/>
      </c>
      <c r="K36" s="5">
        <f>IFERROR(F36/C36,"")</f>
        <v/>
      </c>
    </row>
    <row r="37">
      <c r="A37" s="3" t="inlineStr">
        <is>
          <t>Probate</t>
        </is>
      </c>
      <c r="B37" s="4" t="n">
        <v>266</v>
      </c>
      <c r="C37" s="4" t="n">
        <v>310</v>
      </c>
      <c r="D37" s="4" t="n">
        <v>0</v>
      </c>
      <c r="E37" s="4" t="n">
        <v>0</v>
      </c>
      <c r="F37" s="4" t="n">
        <v>20</v>
      </c>
      <c r="G37" s="4" t="n">
        <v>1</v>
      </c>
      <c r="H37" s="5">
        <f>IFERROR(D37/C37,"")</f>
        <v/>
      </c>
      <c r="I37" s="5">
        <f>IFERROR(E37/C37,"")</f>
        <v/>
      </c>
      <c r="J37" s="5">
        <f>IFERROR(G37/C37,"")</f>
        <v/>
      </c>
      <c r="K37" s="5">
        <f>IFERROR(F37/C37,"")</f>
        <v/>
      </c>
    </row>
    <row r="38">
      <c r="A38" s="3" t="inlineStr">
        <is>
          <t>Judgement</t>
        </is>
      </c>
      <c r="B38" s="4" t="n">
        <v>29</v>
      </c>
      <c r="C38" s="4" t="n">
        <v>25</v>
      </c>
      <c r="D38" s="4" t="n">
        <v>1</v>
      </c>
      <c r="E38" s="4" t="n">
        <v>1</v>
      </c>
      <c r="F38" s="4" t="n">
        <v>1</v>
      </c>
      <c r="G38" s="4" t="n">
        <v>0</v>
      </c>
      <c r="H38" s="5">
        <f>IFERROR(D38/C38,"")</f>
        <v/>
      </c>
      <c r="I38" s="5">
        <f>IFERROR(E38/C38,"")</f>
        <v/>
      </c>
      <c r="J38" s="5">
        <f>IFERROR(G38/C38,"")</f>
        <v/>
      </c>
      <c r="K38" s="5">
        <f>IFERROR(F38/C38,"")</f>
        <v/>
      </c>
    </row>
    <row r="39">
      <c r="A39" s="3" t="inlineStr">
        <is>
          <t>Liens city/county</t>
        </is>
      </c>
      <c r="B39" s="4" t="n">
        <v>34</v>
      </c>
      <c r="C39" s="4" t="n">
        <v>59</v>
      </c>
      <c r="D39" s="4" t="n">
        <v>0</v>
      </c>
      <c r="E39" s="4" t="n">
        <v>0</v>
      </c>
      <c r="F39" s="4" t="n">
        <v>5</v>
      </c>
      <c r="G39" s="4" t="n">
        <v>0</v>
      </c>
      <c r="H39" s="5">
        <f>IFERROR(D39/C39,"")</f>
        <v/>
      </c>
      <c r="I39" s="5">
        <f>IFERROR(E39/C39,"")</f>
        <v/>
      </c>
      <c r="J39" s="5">
        <f>IFERROR(G39/C39,"")</f>
        <v/>
      </c>
      <c r="K39" s="5">
        <f>IFERROR(F39/C39,"")</f>
        <v/>
      </c>
    </row>
    <row r="40">
      <c r="A40" s="3" t="inlineStr">
        <is>
          <t>Liens other</t>
        </is>
      </c>
      <c r="B40" s="4" t="n">
        <v>89</v>
      </c>
      <c r="C40" s="4" t="n">
        <v>70</v>
      </c>
      <c r="D40" s="4" t="n">
        <v>2</v>
      </c>
      <c r="E40" s="4" t="n">
        <v>2</v>
      </c>
      <c r="F40" s="4" t="n">
        <v>4</v>
      </c>
      <c r="G40" s="4" t="n">
        <v>0</v>
      </c>
      <c r="H40" s="5">
        <f>IFERROR(D40/C40,"")</f>
        <v/>
      </c>
      <c r="I40" s="5">
        <f>IFERROR(E40/C40,"")</f>
        <v/>
      </c>
      <c r="J40" s="5">
        <f>IFERROR(G40/C40,"")</f>
        <v/>
      </c>
      <c r="K40" s="5">
        <f>IFERROR(F40/C40,"")</f>
        <v/>
      </c>
    </row>
    <row r="41">
      <c r="A41" s="3" t="inlineStr">
        <is>
          <t>Liens Mechanic</t>
        </is>
      </c>
      <c r="B41" s="4" t="n">
        <v>39</v>
      </c>
      <c r="C41" s="4" t="n">
        <v>37</v>
      </c>
      <c r="D41" s="4" t="n">
        <v>0</v>
      </c>
      <c r="E41" s="4" t="n">
        <v>0</v>
      </c>
      <c r="F41" s="4" t="n">
        <v>1</v>
      </c>
      <c r="G41" s="4" t="n">
        <v>0</v>
      </c>
      <c r="H41" s="5">
        <f>IFERROR(D41/C41,"")</f>
        <v/>
      </c>
      <c r="I41" s="5">
        <f>IFERROR(E41/C41,"")</f>
        <v/>
      </c>
      <c r="J41" s="5">
        <f>IFERROR(G41/C41,"")</f>
        <v/>
      </c>
      <c r="K41" s="5">
        <f>IFERROR(F41/C41,"")</f>
        <v/>
      </c>
    </row>
    <row r="42">
      <c r="A42" s="3" t="inlineStr">
        <is>
          <t>Default Risk</t>
        </is>
      </c>
      <c r="B42" s="4" t="n">
        <v>124398</v>
      </c>
      <c r="C42" s="4" t="n">
        <v>145051</v>
      </c>
      <c r="D42" s="4" t="n">
        <v>2622</v>
      </c>
      <c r="E42" s="4" t="n">
        <v>1747</v>
      </c>
      <c r="F42" s="4" t="n">
        <v>2684</v>
      </c>
      <c r="G42" s="4" t="n">
        <v>30</v>
      </c>
      <c r="H42" s="5">
        <f>IFERROR(D42/C42,"")</f>
        <v/>
      </c>
      <c r="I42" s="5">
        <f>IFERROR(E42/C42,"")</f>
        <v/>
      </c>
      <c r="J42" s="5">
        <f>IFERROR(G42/C42,"")</f>
        <v/>
      </c>
      <c r="K42" s="5">
        <f>IFERROR(F42/C42,"")</f>
        <v/>
      </c>
    </row>
    <row r="43">
      <c r="A43" s="3" t="inlineStr">
        <is>
          <t>High Equity</t>
        </is>
      </c>
      <c r="B43" s="4" t="n">
        <v>146542</v>
      </c>
      <c r="C43" s="4" t="n">
        <v>145900</v>
      </c>
      <c r="D43" s="4" t="n">
        <v>1334</v>
      </c>
      <c r="E43" s="4" t="n">
        <v>939</v>
      </c>
      <c r="F43" s="4" t="n">
        <v>2522</v>
      </c>
      <c r="G43" s="4" t="n">
        <v>21</v>
      </c>
      <c r="H43" s="5">
        <f>IFERROR(D43/C43,"")</f>
        <v/>
      </c>
      <c r="I43" s="5">
        <f>IFERROR(E43/C43,"")</f>
        <v/>
      </c>
      <c r="J43" s="5">
        <f>IFERROR(G43/C43,"")</f>
        <v/>
      </c>
      <c r="K43" s="5">
        <f>IFERROR(F43/C43,"")</f>
        <v/>
      </c>
    </row>
    <row r="44">
      <c r="A44" s="3" t="inlineStr">
        <is>
          <t>55+ (Senior)</t>
        </is>
      </c>
      <c r="B44" s="4" t="n">
        <v>7909</v>
      </c>
      <c r="C44" s="4" t="n">
        <v>4383</v>
      </c>
      <c r="D44" s="4" t="n">
        <v>839</v>
      </c>
      <c r="E44" s="4" t="n">
        <v>568</v>
      </c>
      <c r="F44" s="4" t="n">
        <v>85</v>
      </c>
      <c r="G44" s="4" t="n">
        <v>0</v>
      </c>
      <c r="H44" s="5">
        <f>IFERROR(D44/C44,"")</f>
        <v/>
      </c>
      <c r="I44" s="5">
        <f>IFERROR(E44/C44,"")</f>
        <v/>
      </c>
      <c r="J44" s="5">
        <f>IFERROR(G44/C44,"")</f>
        <v/>
      </c>
      <c r="K44" s="5">
        <f>IFERROR(F44/C44,"")</f>
        <v/>
      </c>
    </row>
    <row r="45">
      <c r="A45" s="3" t="inlineStr">
        <is>
          <t>Absentee</t>
        </is>
      </c>
      <c r="B45" s="4" t="n">
        <v>30493</v>
      </c>
      <c r="C45" s="4" t="n">
        <v>21890</v>
      </c>
      <c r="D45" s="4" t="n">
        <v>532</v>
      </c>
      <c r="E45" s="4" t="n">
        <v>410</v>
      </c>
      <c r="F45" s="4" t="n">
        <v>560</v>
      </c>
      <c r="G45" s="4" t="n">
        <v>3</v>
      </c>
      <c r="H45" s="5">
        <f>IFERROR(D45/C45,"")</f>
        <v/>
      </c>
      <c r="I45" s="5">
        <f>IFERROR(E45/C45,"")</f>
        <v/>
      </c>
      <c r="J45" s="5">
        <f>IFERROR(G45/C45,"")</f>
        <v/>
      </c>
      <c r="K45" s="5">
        <f>IFERROR(F45/C45,"")</f>
        <v/>
      </c>
    </row>
    <row r="46">
      <c r="A46" s="3" t="inlineStr">
        <is>
          <t>Absentee Out of State</t>
        </is>
      </c>
      <c r="B46" s="4" t="n">
        <v>9769</v>
      </c>
      <c r="C46" s="4" t="n">
        <v>6003</v>
      </c>
      <c r="D46" s="4" t="n">
        <v>229</v>
      </c>
      <c r="E46" s="4" t="n">
        <v>179</v>
      </c>
      <c r="F46" s="4" t="n">
        <v>245</v>
      </c>
      <c r="G46" s="4" t="n">
        <v>3</v>
      </c>
      <c r="H46" s="5">
        <f>IFERROR(D46/C46,"")</f>
        <v/>
      </c>
      <c r="I46" s="5">
        <f>IFERROR(E46/C46,"")</f>
        <v/>
      </c>
      <c r="J46" s="5">
        <f>IFERROR(G46/C46,"")</f>
        <v/>
      </c>
      <c r="K46" s="5">
        <f>IFERROR(F46/C46,"")</f>
        <v/>
      </c>
    </row>
    <row r="47">
      <c r="A47" s="3" t="inlineStr">
        <is>
          <t>Downsizing</t>
        </is>
      </c>
      <c r="B47" s="4" t="n">
        <v>38021</v>
      </c>
      <c r="C47" s="4" t="n">
        <v>38833</v>
      </c>
      <c r="D47" s="4" t="n">
        <v>0</v>
      </c>
      <c r="E47" s="4" t="n">
        <v>0</v>
      </c>
      <c r="F47" s="4" t="n">
        <v>574</v>
      </c>
      <c r="G47" s="4" t="n">
        <v>4</v>
      </c>
      <c r="H47" s="5">
        <f>IFERROR(D47/C47,"")</f>
        <v/>
      </c>
      <c r="I47" s="5">
        <f>IFERROR(E47/C47,"")</f>
        <v/>
      </c>
      <c r="J47" s="5">
        <f>IFERROR(G47/C47,"")</f>
        <v/>
      </c>
      <c r="K47" s="5">
        <f>IFERROR(F47/C47,"")</f>
        <v/>
      </c>
    </row>
    <row r="48">
      <c r="A48" s="3" t="inlineStr">
        <is>
          <t>Owner Occupied</t>
        </is>
      </c>
      <c r="B48" s="4" t="n">
        <v>214653</v>
      </c>
      <c r="C48" s="4" t="n">
        <v>191905</v>
      </c>
      <c r="D48" s="4" t="n">
        <v>4126</v>
      </c>
      <c r="E48" s="4" t="n">
        <v>2695</v>
      </c>
      <c r="F48" s="4" t="n">
        <v>3915</v>
      </c>
      <c r="G48" s="4" t="n">
        <v>30</v>
      </c>
      <c r="H48" s="5">
        <f>IFERROR(D48/C48,"")</f>
        <v/>
      </c>
      <c r="I48" s="5">
        <f>IFERROR(E48/C48,"")</f>
        <v/>
      </c>
      <c r="J48" s="5">
        <f>IFERROR(G48/C48,"")</f>
        <v/>
      </c>
      <c r="K48" s="5">
        <f>IFERROR(F48/C48,"")</f>
        <v/>
      </c>
    </row>
    <row r="49">
      <c r="A49" s="6" t="inlineStr">
        <is>
          <t>Total</t>
        </is>
      </c>
      <c r="B49" s="7" t="n">
        <v>582951</v>
      </c>
      <c r="C49" s="7" t="n">
        <v>569359</v>
      </c>
      <c r="D49" s="7" t="n">
        <v>9916</v>
      </c>
      <c r="E49" s="7" t="n">
        <v>6733</v>
      </c>
      <c r="F49" s="7" t="n">
        <v>11231</v>
      </c>
      <c r="G49" s="7" t="n">
        <v>99</v>
      </c>
      <c r="H49" s="8">
        <f>IFERROR(D49/C49,"")</f>
        <v/>
      </c>
      <c r="I49" s="8">
        <f>IFERROR(E49/C49,"")</f>
        <v/>
      </c>
      <c r="J49" s="8">
        <f>IFERROR(G49/C49,"")</f>
        <v/>
      </c>
      <c r="K49" s="8">
        <f>IFERROR(F49/C49,"")</f>
        <v/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2026-04-10T00:55:12Z</dcterms:created>
  <dcterms:modified xsi:type="dcterms:W3CDTF">2026-04-10T00:55:12Z</dcterms:modified>
</cp:coreProperties>
</file>